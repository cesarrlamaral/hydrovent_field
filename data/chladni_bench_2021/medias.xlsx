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Administrador\Desktop\Chladini\"/>
    </mc:Choice>
  </mc:AlternateContent>
  <xr:revisionPtr revIDLastSave="0" documentId="13_ncr:1_{17F766FE-DB20-47C5-9DDA-E5E53DB37EA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  <sheet name="Planilh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2" l="1"/>
  <c r="H8" i="2"/>
  <c r="B38" i="1"/>
  <c r="B37" i="1"/>
</calcChain>
</file>

<file path=xl/sharedStrings.xml><?xml version="1.0" encoding="utf-8"?>
<sst xmlns="http://schemas.openxmlformats.org/spreadsheetml/2006/main" count="45" uniqueCount="42">
  <si>
    <t>SOL 00000_00089</t>
  </si>
  <si>
    <t>SOL 00090_00179</t>
  </si>
  <si>
    <t>SOL 00180_00269 SMALL SPE</t>
  </si>
  <si>
    <t>SOL 00270_00359</t>
  </si>
  <si>
    <t>SOL 00450_00583</t>
  </si>
  <si>
    <t>SOL 00584_00707</t>
  </si>
  <si>
    <t>SOL 00708_00804 SPE</t>
  </si>
  <si>
    <t>SOL 00805_00938</t>
  </si>
  <si>
    <t>SOL 00939_01062</t>
  </si>
  <si>
    <t>SOL 01063_01159</t>
  </si>
  <si>
    <t>SOL 01160_01293</t>
  </si>
  <si>
    <t>SOL 01294_01417</t>
  </si>
  <si>
    <t>SOL 01418_01514</t>
  </si>
  <si>
    <t>SOL 01515_01648</t>
  </si>
  <si>
    <t>SOL 016490_01772</t>
  </si>
  <si>
    <t>SOL 01773_01869 SPE</t>
  </si>
  <si>
    <t>SOL 01870_02003</t>
  </si>
  <si>
    <t>SOL 02004_02127</t>
  </si>
  <si>
    <t>SOL 02128_02224</t>
  </si>
  <si>
    <t>SOL 02225_02358</t>
  </si>
  <si>
    <t>SOL 02359_02482</t>
  </si>
  <si>
    <t>SOL 00360_00449 SMALL SPE</t>
  </si>
  <si>
    <t>sols</t>
  </si>
  <si>
    <t>mediab</t>
  </si>
  <si>
    <t>desvb</t>
  </si>
  <si>
    <t>mediae</t>
  </si>
  <si>
    <t>desve</t>
  </si>
  <si>
    <t>Teste t</t>
  </si>
  <si>
    <t>p-value</t>
  </si>
  <si>
    <t>p-value &gt; 0.05 (nível de 95%), não podemos rejeitar a Ho de que as médias são iguais</t>
  </si>
  <si>
    <t>p-value &lt; 0.05 (nível de 95%), há diferença significativa entre as médias, Ho é rejeitada</t>
  </si>
  <si>
    <t>B - red (antes) x green (depois)</t>
  </si>
  <si>
    <t>E - red (antes) x green (depois)</t>
  </si>
  <si>
    <t>Rejeita Ho</t>
  </si>
  <si>
    <t>p-value onda - / controle</t>
  </si>
  <si>
    <t>p-value onda - / onda +</t>
  </si>
  <si>
    <t>Aceita Ho - médias são iguais em p &gt; 0.05</t>
  </si>
  <si>
    <t>Rejeita Ho - médias não são iguais em p &gt; 0.05</t>
  </si>
  <si>
    <t>wave -</t>
  </si>
  <si>
    <t>wave +</t>
  </si>
  <si>
    <t>control</t>
  </si>
  <si>
    <t>negative (h2o)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</si>
</sst>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00"/>
    <numFmt numFmtId="174" formatCode="0.0000000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7" fontId="0" fillId="0" borderId="0" xfId="0" applyNumberFormat="1"/>
    <xf numFmtId="0" fontId="0" fillId="4" borderId="1" xfId="0" applyFill="1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0" borderId="1" xfId="0" applyBorder="1"/>
    <xf numFmtId="0" fontId="0" fillId="0" borderId="0" xfId="0" applyBorder="1"/>
    <xf numFmtId="164" fontId="0" fillId="0" borderId="0" xfId="0" applyNumberFormat="1" applyBorder="1"/>
    <xf numFmtId="165" fontId="3" fillId="0" borderId="1" xfId="0" applyNumberFormat="1" applyFont="1" applyBorder="1"/>
    <xf numFmtId="164" fontId="0" fillId="0" borderId="1" xfId="0" applyNumberFormat="1" applyBorder="1"/>
    <xf numFmtId="0" fontId="2" fillId="0" borderId="0" xfId="0" applyFont="1"/>
    <xf numFmtId="2" fontId="0" fillId="0" borderId="1" xfId="0" applyNumberForma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Border="1"/>
    <xf numFmtId="11" fontId="0" fillId="0" borderId="1" xfId="0" applyNumberFormat="1" applyBorder="1"/>
    <xf numFmtId="174" fontId="0" fillId="0" borderId="1" xfId="0" applyNumberFormat="1" applyBorder="1"/>
    <xf numFmtId="0" fontId="0" fillId="0" borderId="2" xfId="0" applyBorder="1"/>
    <xf numFmtId="2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Oligonucleotide (K-562) concentration in ng/</a:t>
            </a:r>
            <a:r>
              <a:rPr lang="el-GR"/>
              <a:t>μ</a:t>
            </a:r>
            <a:r>
              <a:rPr lang="pt-BR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Plan1!$B$2</c:f>
              <c:strCache>
                <c:ptCount val="1"/>
                <c:pt idx="0">
                  <c:v>wave 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Plan1!$B$3:$B$34</c:f>
              <c:numCache>
                <c:formatCode>0.00</c:formatCode>
                <c:ptCount val="32"/>
                <c:pt idx="0">
                  <c:v>9.7200000000000006</c:v>
                </c:pt>
                <c:pt idx="1">
                  <c:v>5.08</c:v>
                </c:pt>
                <c:pt idx="2">
                  <c:v>8.42</c:v>
                </c:pt>
                <c:pt idx="3">
                  <c:v>5.69</c:v>
                </c:pt>
                <c:pt idx="4">
                  <c:v>2.2999999999999998</c:v>
                </c:pt>
                <c:pt idx="5">
                  <c:v>5.85</c:v>
                </c:pt>
                <c:pt idx="6">
                  <c:v>7.69</c:v>
                </c:pt>
                <c:pt idx="7">
                  <c:v>7.59</c:v>
                </c:pt>
                <c:pt idx="8">
                  <c:v>8.24</c:v>
                </c:pt>
                <c:pt idx="9">
                  <c:v>6.78</c:v>
                </c:pt>
                <c:pt idx="10">
                  <c:v>5.04</c:v>
                </c:pt>
                <c:pt idx="11">
                  <c:v>8.3140000000000001</c:v>
                </c:pt>
                <c:pt idx="12">
                  <c:v>9.27</c:v>
                </c:pt>
                <c:pt idx="13">
                  <c:v>8.18</c:v>
                </c:pt>
                <c:pt idx="14">
                  <c:v>4.01</c:v>
                </c:pt>
                <c:pt idx="15">
                  <c:v>2.36</c:v>
                </c:pt>
                <c:pt idx="16">
                  <c:v>7.14</c:v>
                </c:pt>
                <c:pt idx="17">
                  <c:v>10.1</c:v>
                </c:pt>
                <c:pt idx="18">
                  <c:v>9.1999999999999993</c:v>
                </c:pt>
                <c:pt idx="19">
                  <c:v>6.32</c:v>
                </c:pt>
                <c:pt idx="20">
                  <c:v>8.5399999999999991</c:v>
                </c:pt>
                <c:pt idx="21">
                  <c:v>3.87</c:v>
                </c:pt>
                <c:pt idx="22">
                  <c:v>6.91</c:v>
                </c:pt>
                <c:pt idx="23">
                  <c:v>7.85</c:v>
                </c:pt>
                <c:pt idx="24">
                  <c:v>3.03</c:v>
                </c:pt>
                <c:pt idx="25">
                  <c:v>4.95</c:v>
                </c:pt>
                <c:pt idx="26">
                  <c:v>7.13</c:v>
                </c:pt>
                <c:pt idx="27">
                  <c:v>6.45</c:v>
                </c:pt>
                <c:pt idx="28">
                  <c:v>8.1</c:v>
                </c:pt>
                <c:pt idx="29">
                  <c:v>4.43</c:v>
                </c:pt>
                <c:pt idx="30">
                  <c:v>7.66</c:v>
                </c:pt>
                <c:pt idx="31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4-4BD2-8DC8-800CF30767F7}"/>
            </c:ext>
          </c:extLst>
        </c:ser>
        <c:ser>
          <c:idx val="1"/>
          <c:order val="1"/>
          <c:tx>
            <c:strRef>
              <c:f>Plan1!$C$2</c:f>
              <c:strCache>
                <c:ptCount val="1"/>
                <c:pt idx="0">
                  <c:v>wave 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Plan1!$C$3:$C$34</c:f>
              <c:numCache>
                <c:formatCode>0.00</c:formatCode>
                <c:ptCount val="32"/>
                <c:pt idx="0">
                  <c:v>29.9</c:v>
                </c:pt>
                <c:pt idx="1">
                  <c:v>19.2</c:v>
                </c:pt>
                <c:pt idx="2">
                  <c:v>17.8</c:v>
                </c:pt>
                <c:pt idx="3">
                  <c:v>27.8</c:v>
                </c:pt>
                <c:pt idx="4">
                  <c:v>31</c:v>
                </c:pt>
                <c:pt idx="5">
                  <c:v>24.8</c:v>
                </c:pt>
                <c:pt idx="6">
                  <c:v>67.400000000000006</c:v>
                </c:pt>
                <c:pt idx="7">
                  <c:v>69.3</c:v>
                </c:pt>
                <c:pt idx="8">
                  <c:v>25.6</c:v>
                </c:pt>
                <c:pt idx="9">
                  <c:v>20.12</c:v>
                </c:pt>
                <c:pt idx="10">
                  <c:v>32.700000000000003</c:v>
                </c:pt>
                <c:pt idx="11">
                  <c:v>19.899999999999999</c:v>
                </c:pt>
                <c:pt idx="12">
                  <c:v>22.66</c:v>
                </c:pt>
                <c:pt idx="13">
                  <c:v>44.12</c:v>
                </c:pt>
                <c:pt idx="14">
                  <c:v>33.24</c:v>
                </c:pt>
                <c:pt idx="15">
                  <c:v>51.26</c:v>
                </c:pt>
                <c:pt idx="16">
                  <c:v>42</c:v>
                </c:pt>
                <c:pt idx="17">
                  <c:v>28.61</c:v>
                </c:pt>
                <c:pt idx="18">
                  <c:v>60.1</c:v>
                </c:pt>
                <c:pt idx="19">
                  <c:v>25.66</c:v>
                </c:pt>
                <c:pt idx="20">
                  <c:v>36.78</c:v>
                </c:pt>
                <c:pt idx="21">
                  <c:v>20.34</c:v>
                </c:pt>
                <c:pt idx="22">
                  <c:v>17.329999999999998</c:v>
                </c:pt>
                <c:pt idx="23">
                  <c:v>56.3</c:v>
                </c:pt>
                <c:pt idx="24">
                  <c:v>47.94</c:v>
                </c:pt>
                <c:pt idx="25">
                  <c:v>18.38</c:v>
                </c:pt>
                <c:pt idx="26">
                  <c:v>23.88</c:v>
                </c:pt>
                <c:pt idx="27">
                  <c:v>27.15</c:v>
                </c:pt>
                <c:pt idx="28">
                  <c:v>35.08</c:v>
                </c:pt>
                <c:pt idx="29">
                  <c:v>54.4</c:v>
                </c:pt>
                <c:pt idx="30">
                  <c:v>38.1</c:v>
                </c:pt>
                <c:pt idx="31">
                  <c:v>22.28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4-4BD2-8DC8-800CF30767F7}"/>
            </c:ext>
          </c:extLst>
        </c:ser>
        <c:ser>
          <c:idx val="2"/>
          <c:order val="2"/>
          <c:tx>
            <c:strRef>
              <c:f>Plan1!$D$2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Plan1!$D$3:$D$34</c:f>
              <c:numCache>
                <c:formatCode>0.00</c:formatCode>
                <c:ptCount val="32"/>
                <c:pt idx="0">
                  <c:v>5.97</c:v>
                </c:pt>
                <c:pt idx="1">
                  <c:v>4.45</c:v>
                </c:pt>
                <c:pt idx="2">
                  <c:v>7.33</c:v>
                </c:pt>
                <c:pt idx="3">
                  <c:v>11.5</c:v>
                </c:pt>
                <c:pt idx="4">
                  <c:v>9.2200000000000006</c:v>
                </c:pt>
                <c:pt idx="5">
                  <c:v>2.4</c:v>
                </c:pt>
                <c:pt idx="6">
                  <c:v>5.07</c:v>
                </c:pt>
                <c:pt idx="7">
                  <c:v>9.2899999999999991</c:v>
                </c:pt>
                <c:pt idx="8">
                  <c:v>2.87</c:v>
                </c:pt>
                <c:pt idx="9">
                  <c:v>4.04</c:v>
                </c:pt>
                <c:pt idx="10">
                  <c:v>5.33</c:v>
                </c:pt>
                <c:pt idx="11">
                  <c:v>2.4500000000000002</c:v>
                </c:pt>
                <c:pt idx="12">
                  <c:v>8.08</c:v>
                </c:pt>
                <c:pt idx="13">
                  <c:v>4.55</c:v>
                </c:pt>
                <c:pt idx="14">
                  <c:v>8.6300000000000008</c:v>
                </c:pt>
                <c:pt idx="15">
                  <c:v>9.3000000000000007</c:v>
                </c:pt>
                <c:pt idx="16">
                  <c:v>5.09</c:v>
                </c:pt>
                <c:pt idx="17">
                  <c:v>11.01</c:v>
                </c:pt>
                <c:pt idx="18">
                  <c:v>4.47</c:v>
                </c:pt>
                <c:pt idx="19">
                  <c:v>8.36</c:v>
                </c:pt>
                <c:pt idx="20">
                  <c:v>7.7</c:v>
                </c:pt>
                <c:pt idx="21">
                  <c:v>3.71</c:v>
                </c:pt>
                <c:pt idx="22">
                  <c:v>4.97</c:v>
                </c:pt>
                <c:pt idx="23">
                  <c:v>3.79</c:v>
                </c:pt>
                <c:pt idx="24">
                  <c:v>6.58</c:v>
                </c:pt>
                <c:pt idx="25">
                  <c:v>7.13</c:v>
                </c:pt>
                <c:pt idx="26">
                  <c:v>5.88</c:v>
                </c:pt>
                <c:pt idx="27">
                  <c:v>5.01</c:v>
                </c:pt>
                <c:pt idx="28">
                  <c:v>4.3899999999999997</c:v>
                </c:pt>
                <c:pt idx="29">
                  <c:v>8.8699999999999992</c:v>
                </c:pt>
                <c:pt idx="30">
                  <c:v>9.0299999999999994</c:v>
                </c:pt>
                <c:pt idx="31">
                  <c:v>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C4-4BD2-8DC8-800CF307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884280"/>
        <c:axId val="522879688"/>
      </c:lineChart>
      <c:catAx>
        <c:axId val="522884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879688"/>
        <c:crosses val="autoZero"/>
        <c:auto val="1"/>
        <c:lblAlgn val="ctr"/>
        <c:lblOffset val="100"/>
        <c:noMultiLvlLbl val="0"/>
      </c:catAx>
      <c:valAx>
        <c:axId val="52287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88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618296</xdr:colOff>
      <xdr:row>10</xdr:row>
      <xdr:rowOff>87923</xdr:rowOff>
    </xdr:from>
    <xdr:to>
      <xdr:col>9</xdr:col>
      <xdr:colOff>452035</xdr:colOff>
      <xdr:row>32</xdr:row>
      <xdr:rowOff>179110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C2E4FF-C31F-46F1-88E6-CFB3FB087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1"/>
  <sheetViews>
    <sheetView tabSelected="1" zoomScale="85" zoomScaleNormal="85" workbookViewId="0">
      <selection activeCell="M33" sqref="M33"/>
    </sheetView>
  </sheetViews>
  <sheetFormatPr defaultRowHeight="15" x14ac:dyDescent="0.25"/>
  <cols>
    <col min="1" max="1" width="31" customWidth="1"/>
    <col min="2" max="2" width="10.5703125" customWidth="1"/>
    <col min="3" max="3" width="10.85546875" bestFit="1" customWidth="1"/>
    <col min="4" max="4" width="11" customWidth="1"/>
    <col min="5" max="5" width="10.7109375" bestFit="1" customWidth="1"/>
    <col min="7" max="7" width="29.140625" customWidth="1"/>
    <col min="8" max="8" width="15.5703125" bestFit="1" customWidth="1"/>
    <col min="9" max="9" width="46" customWidth="1"/>
    <col min="10" max="10" width="10" customWidth="1"/>
    <col min="11" max="11" width="14.85546875" customWidth="1"/>
    <col min="12" max="12" width="23.28515625" bestFit="1" customWidth="1"/>
    <col min="13" max="13" width="11.5703125" bestFit="1" customWidth="1"/>
    <col min="16" max="16" width="20.5703125" customWidth="1"/>
    <col min="17" max="17" width="21.140625" bestFit="1" customWidth="1"/>
  </cols>
  <sheetData>
    <row r="2" spans="1:5" x14ac:dyDescent="0.25">
      <c r="A2" s="1"/>
      <c r="B2" s="15" t="s">
        <v>38</v>
      </c>
      <c r="C2" s="15" t="s">
        <v>39</v>
      </c>
      <c r="D2" s="15" t="s">
        <v>40</v>
      </c>
      <c r="E2" s="15" t="s">
        <v>41</v>
      </c>
    </row>
    <row r="3" spans="1:5" x14ac:dyDescent="0.25">
      <c r="A3" s="1"/>
      <c r="B3" s="14">
        <v>9.7200000000000006</v>
      </c>
      <c r="C3" s="14">
        <v>29.9</v>
      </c>
      <c r="D3" s="14">
        <v>5.97</v>
      </c>
      <c r="E3" s="14">
        <v>0.78</v>
      </c>
    </row>
    <row r="4" spans="1:5" x14ac:dyDescent="0.25">
      <c r="A4" s="10"/>
      <c r="B4" s="14">
        <v>5.08</v>
      </c>
      <c r="C4" s="14">
        <v>19.2</v>
      </c>
      <c r="D4" s="14">
        <v>4.45</v>
      </c>
      <c r="E4" s="21">
        <v>0.68</v>
      </c>
    </row>
    <row r="5" spans="1:5" x14ac:dyDescent="0.25">
      <c r="A5" s="10"/>
      <c r="B5" s="14">
        <v>8.42</v>
      </c>
      <c r="C5" s="14">
        <v>17.8</v>
      </c>
      <c r="D5" s="14">
        <v>7.33</v>
      </c>
      <c r="E5" s="21">
        <v>0.53</v>
      </c>
    </row>
    <row r="6" spans="1:5" x14ac:dyDescent="0.25">
      <c r="B6" s="14">
        <v>5.69</v>
      </c>
      <c r="C6" s="14">
        <v>27.8</v>
      </c>
      <c r="D6" s="14">
        <v>11.5</v>
      </c>
      <c r="E6" s="21">
        <v>0.4</v>
      </c>
    </row>
    <row r="7" spans="1:5" x14ac:dyDescent="0.25">
      <c r="B7" s="14">
        <v>2.2999999999999998</v>
      </c>
      <c r="C7" s="14">
        <v>31</v>
      </c>
      <c r="D7" s="14">
        <v>9.2200000000000006</v>
      </c>
      <c r="E7" s="21">
        <v>0.61</v>
      </c>
    </row>
    <row r="8" spans="1:5" x14ac:dyDescent="0.25">
      <c r="B8" s="14">
        <v>5.85</v>
      </c>
      <c r="C8" s="14">
        <v>24.8</v>
      </c>
      <c r="D8" s="14">
        <v>2.4</v>
      </c>
      <c r="E8" s="21">
        <v>0.44</v>
      </c>
    </row>
    <row r="9" spans="1:5" x14ac:dyDescent="0.25">
      <c r="B9" s="14">
        <v>7.69</v>
      </c>
      <c r="C9" s="14">
        <v>67.400000000000006</v>
      </c>
      <c r="D9" s="14">
        <v>5.07</v>
      </c>
    </row>
    <row r="10" spans="1:5" x14ac:dyDescent="0.25">
      <c r="B10" s="14">
        <v>7.59</v>
      </c>
      <c r="C10" s="14">
        <v>69.3</v>
      </c>
      <c r="D10" s="14">
        <v>9.2899999999999991</v>
      </c>
    </row>
    <row r="11" spans="1:5" x14ac:dyDescent="0.25">
      <c r="B11" s="14">
        <v>8.24</v>
      </c>
      <c r="C11" s="14">
        <v>25.6</v>
      </c>
      <c r="D11" s="14">
        <v>2.87</v>
      </c>
    </row>
    <row r="12" spans="1:5" x14ac:dyDescent="0.25">
      <c r="A12" s="1"/>
      <c r="B12" s="14">
        <v>6.78</v>
      </c>
      <c r="C12" s="14">
        <v>20.12</v>
      </c>
      <c r="D12" s="14">
        <v>4.04</v>
      </c>
    </row>
    <row r="13" spans="1:5" x14ac:dyDescent="0.25">
      <c r="B13" s="21">
        <v>5.04</v>
      </c>
      <c r="C13" s="21">
        <v>32.700000000000003</v>
      </c>
      <c r="D13" s="21">
        <v>5.33</v>
      </c>
    </row>
    <row r="14" spans="1:5" x14ac:dyDescent="0.25">
      <c r="B14" s="21">
        <v>8.3140000000000001</v>
      </c>
      <c r="C14" s="21">
        <v>19.899999999999999</v>
      </c>
      <c r="D14" s="21">
        <v>2.4500000000000002</v>
      </c>
    </row>
    <row r="15" spans="1:5" x14ac:dyDescent="0.25">
      <c r="B15" s="21">
        <v>9.27</v>
      </c>
      <c r="C15" s="21">
        <v>22.66</v>
      </c>
      <c r="D15" s="21">
        <v>8.08</v>
      </c>
    </row>
    <row r="16" spans="1:5" x14ac:dyDescent="0.25">
      <c r="B16" s="21">
        <v>8.18</v>
      </c>
      <c r="C16" s="21">
        <v>44.12</v>
      </c>
      <c r="D16" s="21">
        <v>4.55</v>
      </c>
    </row>
    <row r="17" spans="1:11" x14ac:dyDescent="0.25">
      <c r="B17" s="21">
        <v>4.01</v>
      </c>
      <c r="C17" s="21">
        <v>33.24</v>
      </c>
      <c r="D17" s="21">
        <v>8.6300000000000008</v>
      </c>
    </row>
    <row r="18" spans="1:11" x14ac:dyDescent="0.25">
      <c r="B18" s="21">
        <v>2.36</v>
      </c>
      <c r="C18" s="21">
        <v>51.26</v>
      </c>
      <c r="D18" s="21">
        <v>9.3000000000000007</v>
      </c>
    </row>
    <row r="19" spans="1:11" x14ac:dyDescent="0.25">
      <c r="B19" s="21">
        <v>7.14</v>
      </c>
      <c r="C19" s="21">
        <v>42</v>
      </c>
      <c r="D19" s="21">
        <v>5.09</v>
      </c>
    </row>
    <row r="20" spans="1:11" x14ac:dyDescent="0.25">
      <c r="B20" s="21">
        <v>10.1</v>
      </c>
      <c r="C20" s="21">
        <v>28.61</v>
      </c>
      <c r="D20" s="21">
        <v>11.01</v>
      </c>
    </row>
    <row r="21" spans="1:11" x14ac:dyDescent="0.25">
      <c r="A21" s="1"/>
      <c r="B21" s="21">
        <v>9.1999999999999993</v>
      </c>
      <c r="C21" s="21">
        <v>60.1</v>
      </c>
      <c r="D21" s="21">
        <v>4.47</v>
      </c>
    </row>
    <row r="22" spans="1:11" x14ac:dyDescent="0.25">
      <c r="A22" s="1"/>
      <c r="B22" s="21">
        <v>6.32</v>
      </c>
      <c r="C22" s="21">
        <v>25.66</v>
      </c>
      <c r="D22" s="21">
        <v>8.36</v>
      </c>
    </row>
    <row r="23" spans="1:11" x14ac:dyDescent="0.25">
      <c r="A23" s="1"/>
      <c r="B23" s="21">
        <v>8.5399999999999991</v>
      </c>
      <c r="C23" s="21">
        <v>36.78</v>
      </c>
      <c r="D23" s="21">
        <v>7.7</v>
      </c>
    </row>
    <row r="24" spans="1:11" x14ac:dyDescent="0.25">
      <c r="B24" s="21">
        <v>3.87</v>
      </c>
      <c r="C24" s="21">
        <v>20.34</v>
      </c>
      <c r="D24" s="21">
        <v>3.71</v>
      </c>
    </row>
    <row r="25" spans="1:11" x14ac:dyDescent="0.25">
      <c r="B25" s="21">
        <v>6.91</v>
      </c>
      <c r="C25" s="21">
        <v>17.329999999999998</v>
      </c>
      <c r="D25" s="21">
        <v>4.97</v>
      </c>
    </row>
    <row r="26" spans="1:11" x14ac:dyDescent="0.25">
      <c r="B26" s="21">
        <v>7.85</v>
      </c>
      <c r="C26" s="21">
        <v>56.3</v>
      </c>
      <c r="D26" s="21">
        <v>3.79</v>
      </c>
    </row>
    <row r="27" spans="1:11" x14ac:dyDescent="0.25">
      <c r="B27" s="21">
        <v>3.03</v>
      </c>
      <c r="C27" s="21">
        <v>47.94</v>
      </c>
      <c r="D27" s="21">
        <v>6.58</v>
      </c>
      <c r="K27" s="1"/>
    </row>
    <row r="28" spans="1:11" x14ac:dyDescent="0.25">
      <c r="B28" s="21">
        <v>4.95</v>
      </c>
      <c r="C28" s="21">
        <v>18.38</v>
      </c>
      <c r="D28" s="21">
        <v>7.13</v>
      </c>
    </row>
    <row r="29" spans="1:11" x14ac:dyDescent="0.25">
      <c r="B29" s="21">
        <v>7.13</v>
      </c>
      <c r="C29" s="21">
        <v>23.88</v>
      </c>
      <c r="D29" s="21">
        <v>5.88</v>
      </c>
    </row>
    <row r="30" spans="1:11" x14ac:dyDescent="0.25">
      <c r="B30" s="21">
        <v>6.45</v>
      </c>
      <c r="C30" s="21">
        <v>27.15</v>
      </c>
      <c r="D30" s="21">
        <v>5.01</v>
      </c>
    </row>
    <row r="31" spans="1:11" x14ac:dyDescent="0.25">
      <c r="B31" s="21">
        <v>8.1</v>
      </c>
      <c r="C31" s="21">
        <v>35.08</v>
      </c>
      <c r="D31" s="21">
        <v>4.3899999999999997</v>
      </c>
      <c r="I31" s="2"/>
    </row>
    <row r="32" spans="1:11" x14ac:dyDescent="0.25">
      <c r="B32" s="21">
        <v>4.43</v>
      </c>
      <c r="C32" s="21">
        <v>54.4</v>
      </c>
      <c r="D32" s="21">
        <v>8.8699999999999992</v>
      </c>
    </row>
    <row r="33" spans="1:6" x14ac:dyDescent="0.25">
      <c r="B33" s="21">
        <v>7.66</v>
      </c>
      <c r="C33" s="21">
        <v>38.1</v>
      </c>
      <c r="D33" s="21">
        <v>9.0299999999999994</v>
      </c>
    </row>
    <row r="34" spans="1:6" x14ac:dyDescent="0.25">
      <c r="B34" s="21">
        <v>3.12</v>
      </c>
      <c r="C34" s="21">
        <v>22.28</v>
      </c>
      <c r="D34" s="21">
        <v>5.35</v>
      </c>
    </row>
    <row r="36" spans="1:6" x14ac:dyDescent="0.25">
      <c r="A36" s="1"/>
      <c r="B36" s="17" t="s">
        <v>27</v>
      </c>
    </row>
    <row r="37" spans="1:6" x14ac:dyDescent="0.25">
      <c r="A37" s="16" t="s">
        <v>35</v>
      </c>
      <c r="B37" s="18">
        <f>TTEST(B3:B34,C3:C34,1,1)</f>
        <v>6.7233439328613025E-12</v>
      </c>
      <c r="C37" s="8"/>
      <c r="D37" s="8" t="s">
        <v>37</v>
      </c>
      <c r="E37" s="8"/>
      <c r="F37" s="20"/>
    </row>
    <row r="38" spans="1:6" x14ac:dyDescent="0.25">
      <c r="A38" s="17" t="s">
        <v>34</v>
      </c>
      <c r="B38" s="8">
        <f>TTEST(B3:B34,D3:D34,2,1)</f>
        <v>0.70914785906758682</v>
      </c>
      <c r="C38" s="8"/>
      <c r="D38" s="8" t="s">
        <v>36</v>
      </c>
      <c r="E38" s="8"/>
      <c r="F38" s="8"/>
    </row>
    <row r="40" spans="1:6" x14ac:dyDescent="0.25">
      <c r="A40" s="19">
        <v>6.7199999999999996E-12</v>
      </c>
    </row>
    <row r="41" spans="1:6" x14ac:dyDescent="0.25">
      <c r="A41" s="8">
        <v>0.70914785906758682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0294-B07D-48A0-90D4-3DC2980A6B45}">
  <dimension ref="A1:K23"/>
  <sheetViews>
    <sheetView workbookViewId="0">
      <selection activeCell="N22" sqref="N21:N22"/>
    </sheetView>
  </sheetViews>
  <sheetFormatPr defaultRowHeight="15" x14ac:dyDescent="0.25"/>
  <cols>
    <col min="8" max="8" width="13.7109375" bestFit="1" customWidth="1"/>
  </cols>
  <sheetData>
    <row r="1" spans="1:11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11" x14ac:dyDescent="0.25">
      <c r="A2" s="4" t="s">
        <v>0</v>
      </c>
      <c r="B2" s="5">
        <v>8.8919999999999995</v>
      </c>
      <c r="C2" s="5">
        <v>1.2860799999999999</v>
      </c>
      <c r="D2" s="5">
        <v>8.7330000000000005</v>
      </c>
      <c r="E2" s="5">
        <v>1.9884299999999999</v>
      </c>
      <c r="K2" s="1"/>
    </row>
    <row r="3" spans="1:11" x14ac:dyDescent="0.25">
      <c r="A3" s="4" t="s">
        <v>1</v>
      </c>
      <c r="B3" s="5">
        <v>9.1679999999999993</v>
      </c>
      <c r="C3" s="5">
        <v>0.48981000000000002</v>
      </c>
      <c r="D3" s="5">
        <v>8.8360000000000003</v>
      </c>
      <c r="E3" s="5">
        <v>0.93666000000000005</v>
      </c>
      <c r="K3" s="1"/>
    </row>
    <row r="4" spans="1:11" x14ac:dyDescent="0.25">
      <c r="A4" s="4" t="s">
        <v>2</v>
      </c>
      <c r="B4" s="5">
        <v>9.18</v>
      </c>
      <c r="C4" s="5">
        <v>0.5464</v>
      </c>
      <c r="D4" s="5">
        <v>8.7795000000000005</v>
      </c>
      <c r="E4" s="5">
        <v>0.58269000000000004</v>
      </c>
      <c r="G4" s="9"/>
      <c r="H4" s="9"/>
      <c r="I4" s="9"/>
      <c r="J4" s="9"/>
      <c r="K4" s="10"/>
    </row>
    <row r="5" spans="1:11" x14ac:dyDescent="0.25">
      <c r="A5" s="4" t="s">
        <v>3</v>
      </c>
      <c r="B5" s="5">
        <v>8.8673699999999993</v>
      </c>
      <c r="C5" s="5">
        <v>0.61178999999999994</v>
      </c>
      <c r="D5" s="5">
        <v>8.6665799999999997</v>
      </c>
      <c r="E5" s="5">
        <v>1.1653199999999999</v>
      </c>
      <c r="G5" s="9"/>
      <c r="H5" s="9"/>
      <c r="I5" s="9"/>
      <c r="J5" s="9"/>
      <c r="K5" s="10"/>
    </row>
    <row r="6" spans="1:11" x14ac:dyDescent="0.25">
      <c r="A6" s="4" t="s">
        <v>21</v>
      </c>
      <c r="B6" s="5">
        <v>8.9095999999999993</v>
      </c>
      <c r="C6" s="5">
        <v>0.68415000000000004</v>
      </c>
      <c r="D6" s="5">
        <v>8.8225999999999996</v>
      </c>
      <c r="E6" s="5">
        <v>1.10094</v>
      </c>
      <c r="H6" s="15" t="s">
        <v>27</v>
      </c>
      <c r="I6" s="1"/>
      <c r="J6" s="1"/>
      <c r="K6" s="1"/>
    </row>
    <row r="7" spans="1:11" x14ac:dyDescent="0.25">
      <c r="A7" s="4" t="s">
        <v>4</v>
      </c>
      <c r="B7" s="5">
        <v>8.6092399999999998</v>
      </c>
      <c r="C7" s="5">
        <v>0.76466000000000001</v>
      </c>
      <c r="D7" s="5">
        <v>8.4725000000000001</v>
      </c>
      <c r="E7" s="5">
        <v>1.00708</v>
      </c>
      <c r="G7" s="8" t="s">
        <v>31</v>
      </c>
      <c r="H7" s="11">
        <f>TTEST(B2:B12,B13:B23,2,1)</f>
        <v>5.1129729316848839E-6</v>
      </c>
      <c r="I7" s="12" t="s">
        <v>28</v>
      </c>
      <c r="J7" s="1"/>
      <c r="K7" s="13" t="s">
        <v>33</v>
      </c>
    </row>
    <row r="8" spans="1:11" x14ac:dyDescent="0.25">
      <c r="A8" s="4" t="s">
        <v>5</v>
      </c>
      <c r="B8" s="5">
        <v>8.5974400000000006</v>
      </c>
      <c r="C8" s="5">
        <v>0.77563000000000004</v>
      </c>
      <c r="D8" s="5">
        <v>8.4765999999999995</v>
      </c>
      <c r="E8" s="5">
        <v>1.00773</v>
      </c>
      <c r="G8" s="8" t="s">
        <v>32</v>
      </c>
      <c r="H8" s="11">
        <f>TTEST(D2:D12,D13:D23,2,1)</f>
        <v>2.6870154317282171E-6</v>
      </c>
      <c r="I8" s="12" t="s">
        <v>28</v>
      </c>
      <c r="J8" s="1"/>
      <c r="K8" s="13" t="s">
        <v>33</v>
      </c>
    </row>
    <row r="9" spans="1:11" x14ac:dyDescent="0.25">
      <c r="A9" s="4" t="s">
        <v>6</v>
      </c>
      <c r="B9" s="5">
        <v>8.8689199999999992</v>
      </c>
      <c r="C9" s="5">
        <v>0.93245</v>
      </c>
      <c r="D9" s="5">
        <v>8.8107000000000006</v>
      </c>
      <c r="E9" s="5">
        <v>1.11209</v>
      </c>
      <c r="J9" s="1"/>
      <c r="K9" s="1"/>
    </row>
    <row r="10" spans="1:11" x14ac:dyDescent="0.25">
      <c r="A10" s="4" t="s">
        <v>7</v>
      </c>
      <c r="B10" s="5">
        <v>8.5837400000000006</v>
      </c>
      <c r="C10" s="5">
        <v>0.74485000000000001</v>
      </c>
      <c r="D10" s="5">
        <v>8.4329999999999998</v>
      </c>
      <c r="E10" s="5">
        <v>0.74626000000000003</v>
      </c>
      <c r="G10" s="1" t="s">
        <v>29</v>
      </c>
    </row>
    <row r="11" spans="1:11" x14ac:dyDescent="0.25">
      <c r="A11" s="4" t="s">
        <v>8</v>
      </c>
      <c r="B11" s="5">
        <v>8.5493100000000002</v>
      </c>
      <c r="C11" s="5">
        <v>0.82484999999999997</v>
      </c>
      <c r="D11" s="5">
        <v>8.4717400000000005</v>
      </c>
      <c r="E11" s="5">
        <v>0.84597</v>
      </c>
      <c r="G11" s="1" t="s">
        <v>30</v>
      </c>
    </row>
    <row r="12" spans="1:11" x14ac:dyDescent="0.25">
      <c r="A12" s="4" t="s">
        <v>9</v>
      </c>
      <c r="B12" s="5">
        <v>8.9570000000000007</v>
      </c>
      <c r="C12" s="5">
        <v>0.99414999999999998</v>
      </c>
      <c r="D12" s="5">
        <v>9.0790000000000006</v>
      </c>
      <c r="E12" s="5">
        <v>0.99016000000000004</v>
      </c>
    </row>
    <row r="13" spans="1:11" x14ac:dyDescent="0.25">
      <c r="A13" s="6" t="s">
        <v>10</v>
      </c>
      <c r="B13" s="7">
        <v>9.5964200000000002</v>
      </c>
      <c r="C13" s="7">
        <v>0.95864000000000005</v>
      </c>
      <c r="D13" s="7">
        <v>9.9030000000000005</v>
      </c>
      <c r="E13" s="7">
        <v>0.97745000000000004</v>
      </c>
    </row>
    <row r="14" spans="1:11" x14ac:dyDescent="0.25">
      <c r="A14" s="6" t="s">
        <v>11</v>
      </c>
      <c r="B14" s="7">
        <v>10.14771</v>
      </c>
      <c r="C14" s="7">
        <v>0.97421000000000002</v>
      </c>
      <c r="D14" s="7">
        <v>10.35515</v>
      </c>
      <c r="E14" s="7">
        <v>0.93761000000000005</v>
      </c>
    </row>
    <row r="15" spans="1:11" x14ac:dyDescent="0.25">
      <c r="A15" s="6" t="s">
        <v>12</v>
      </c>
      <c r="B15" s="7">
        <v>10.339399999999999</v>
      </c>
      <c r="C15" s="7">
        <v>1.036</v>
      </c>
      <c r="D15" s="7">
        <v>10.5708</v>
      </c>
      <c r="E15" s="7">
        <v>1.0346599999999999</v>
      </c>
    </row>
    <row r="16" spans="1:11" x14ac:dyDescent="0.25">
      <c r="A16" s="6" t="s">
        <v>13</v>
      </c>
      <c r="B16" s="7">
        <v>10.8345</v>
      </c>
      <c r="C16" s="7">
        <v>1.06752</v>
      </c>
      <c r="D16" s="7">
        <v>11.318300000000001</v>
      </c>
      <c r="E16" s="7">
        <v>1.0425500000000001</v>
      </c>
      <c r="K16" s="1"/>
    </row>
    <row r="17" spans="1:11" x14ac:dyDescent="0.25">
      <c r="A17" s="6" t="s">
        <v>14</v>
      </c>
      <c r="B17" s="7">
        <v>11.03129</v>
      </c>
      <c r="C17" s="7">
        <v>1.01722</v>
      </c>
      <c r="D17" s="7">
        <v>11.655900000000001</v>
      </c>
      <c r="E17" s="7">
        <v>1.0132399999999999</v>
      </c>
    </row>
    <row r="18" spans="1:11" x14ac:dyDescent="0.25">
      <c r="A18" s="6" t="s">
        <v>15</v>
      </c>
      <c r="B18" s="7">
        <v>10.64106</v>
      </c>
      <c r="C18" s="7">
        <v>1.8448500000000001</v>
      </c>
      <c r="D18" s="7">
        <v>11.16624</v>
      </c>
      <c r="E18" s="7">
        <v>1.7380100000000001</v>
      </c>
      <c r="K18" s="1"/>
    </row>
    <row r="19" spans="1:11" x14ac:dyDescent="0.25">
      <c r="A19" s="6" t="s">
        <v>16</v>
      </c>
      <c r="B19" s="7">
        <v>11.1837</v>
      </c>
      <c r="C19" s="7">
        <v>1.15052</v>
      </c>
      <c r="D19" s="7">
        <v>11.968</v>
      </c>
      <c r="E19" s="7">
        <v>1.1547099999999999</v>
      </c>
      <c r="K19" s="1"/>
    </row>
    <row r="20" spans="1:11" x14ac:dyDescent="0.25">
      <c r="A20" s="6" t="s">
        <v>17</v>
      </c>
      <c r="B20" s="7">
        <v>11.303940000000001</v>
      </c>
      <c r="C20" s="7">
        <v>1.1373800000000001</v>
      </c>
      <c r="D20" s="7">
        <v>12.1455</v>
      </c>
      <c r="E20" s="7">
        <v>1.1536999999999999</v>
      </c>
      <c r="K20" s="1"/>
    </row>
    <row r="21" spans="1:11" x14ac:dyDescent="0.25">
      <c r="A21" s="6" t="s">
        <v>18</v>
      </c>
      <c r="B21" s="7">
        <v>11.32816</v>
      </c>
      <c r="C21" s="7">
        <v>1.15221</v>
      </c>
      <c r="D21" s="7">
        <v>12.333</v>
      </c>
      <c r="E21" s="7">
        <v>1.18343</v>
      </c>
      <c r="K21" s="1"/>
    </row>
    <row r="22" spans="1:11" x14ac:dyDescent="0.25">
      <c r="A22" s="6" t="s">
        <v>19</v>
      </c>
      <c r="B22" s="7">
        <v>11.5403</v>
      </c>
      <c r="C22" s="7">
        <v>1.0430699999999999</v>
      </c>
      <c r="D22" s="7">
        <v>12.6647</v>
      </c>
      <c r="E22" s="7">
        <v>1.05697</v>
      </c>
      <c r="K22" s="1"/>
    </row>
    <row r="23" spans="1:11" x14ac:dyDescent="0.25">
      <c r="A23" s="6" t="s">
        <v>20</v>
      </c>
      <c r="B23" s="7">
        <v>11.555300000000001</v>
      </c>
      <c r="C23" s="7">
        <v>1.0656099999999999</v>
      </c>
      <c r="D23" s="7">
        <v>12.70585</v>
      </c>
      <c r="E23" s="7">
        <v>1.06681</v>
      </c>
      <c r="K2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2015-06-05T18:19:34Z</dcterms:created>
  <dcterms:modified xsi:type="dcterms:W3CDTF">2021-05-22T04:34:23Z</dcterms:modified>
</cp:coreProperties>
</file>